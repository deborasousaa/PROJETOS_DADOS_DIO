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sousa/Downloads/"/>
    </mc:Choice>
  </mc:AlternateContent>
  <xr:revisionPtr revIDLastSave="0" documentId="13_ncr:1_{95746CF8-2DA1-1348-A225-3176FE780B33}" xr6:coauthVersionLast="47" xr6:coauthVersionMax="47" xr10:uidLastSave="{00000000-0000-0000-0000-000000000000}"/>
  <bookViews>
    <workbookView xWindow="4420" yWindow="660" windowWidth="24980" windowHeight="17200" xr2:uid="{D36CD06D-5D19-C94D-92AA-D790BAF907E6}"/>
  </bookViews>
  <sheets>
    <sheet name="Simulacao_FIIs" sheetId="1" r:id="rId1"/>
    <sheet name="Planilha3" sheetId="3" r:id="rId2"/>
    <sheet name="Planilha2" sheetId="2" state="hidden" r:id="rId3"/>
  </sheets>
  <definedNames>
    <definedName name="Aporte">Simulacao_FIIs!$D$17</definedName>
    <definedName name="Patrimonio">Simulacao_FIIs!$D$20</definedName>
    <definedName name="Quantidade_anos">Simulacao_FIIs!$D$18</definedName>
    <definedName name="Rendimento_Carteira">Simulacao_FIIs!$D$13</definedName>
    <definedName name="Salario">Simulacao_FIIs!$D$12</definedName>
    <definedName name="Sugestao_investimento">Simulacao_FIIs!$D$14</definedName>
    <definedName name="Taxa_mensal">Simulacao_FIIs!$D$19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A15" i="2"/>
  <c r="A4" i="2"/>
  <c r="A5" i="2"/>
  <c r="A6" i="2"/>
  <c r="A7" i="2"/>
  <c r="A8" i="2"/>
  <c r="A9" i="2"/>
  <c r="A10" i="2"/>
  <c r="A11" i="2"/>
  <c r="A12" i="2"/>
  <c r="A13" i="2"/>
  <c r="A14" i="2"/>
  <c r="A16" i="2"/>
  <c r="A17" i="2"/>
  <c r="A18" i="2"/>
  <c r="A19" i="2"/>
  <c r="A20" i="2"/>
  <c r="A3" i="2"/>
  <c r="C33" i="1"/>
  <c r="D20" i="1"/>
  <c r="D14" i="1"/>
  <c r="C25" i="1"/>
  <c r="D25" i="1" s="1"/>
  <c r="C26" i="1"/>
  <c r="D26" i="1" s="1"/>
  <c r="C27" i="1"/>
  <c r="D27" i="1" s="1"/>
  <c r="C28" i="1"/>
  <c r="D28" i="1" s="1"/>
  <c r="C24" i="1"/>
  <c r="D24" i="1" s="1"/>
  <c r="C37" i="1" l="1"/>
  <c r="D37" i="1" s="1"/>
  <c r="C39" i="1"/>
  <c r="D39" i="1" s="1"/>
  <c r="C40" i="1"/>
  <c r="D40" i="1" s="1"/>
  <c r="C41" i="1"/>
  <c r="D41" i="1" s="1"/>
  <c r="C36" i="1"/>
  <c r="D36" i="1" s="1"/>
  <c r="C38" i="1"/>
  <c r="D38" i="1" s="1"/>
  <c r="D42" i="1" l="1"/>
</calcChain>
</file>

<file path=xl/sharedStrings.xml><?xml version="1.0" encoding="utf-8"?>
<sst xmlns="http://schemas.openxmlformats.org/spreadsheetml/2006/main" count="69" uniqueCount="34">
  <si>
    <t xml:space="preserve">Quanto investir por mês? </t>
  </si>
  <si>
    <t xml:space="preserve">Por quantos anos? </t>
  </si>
  <si>
    <t xml:space="preserve">Taxa de rendimento mensal ? </t>
  </si>
  <si>
    <t xml:space="preserve">Dividendos mensais? </t>
  </si>
  <si>
    <t>INVESTIMENTO MESAL</t>
  </si>
  <si>
    <t xml:space="preserve">Patrimonio Acumulado ? </t>
  </si>
  <si>
    <t>Quanto em 2 anos?</t>
  </si>
  <si>
    <t>Quanto em 5 anos?</t>
  </si>
  <si>
    <t>Quanto em 10 anos?</t>
  </si>
  <si>
    <t>Quanto em 30 anos?</t>
  </si>
  <si>
    <t>Quanto em 20 anos?</t>
  </si>
  <si>
    <t xml:space="preserve">Cenários </t>
  </si>
  <si>
    <t>Dividendo</t>
  </si>
  <si>
    <t>Salário</t>
  </si>
  <si>
    <t xml:space="preserve">Rendimento Carteira </t>
  </si>
  <si>
    <t>CONFIGURAÇÕES</t>
  </si>
  <si>
    <t xml:space="preserve">Sugestão de Investimento </t>
  </si>
  <si>
    <t>Agressivo</t>
  </si>
  <si>
    <t>VALOR A SER INVESTIDO POR MÊS</t>
  </si>
  <si>
    <t>TIPO DE FII</t>
  </si>
  <si>
    <t>Percentual Sugerido</t>
  </si>
  <si>
    <t xml:space="preserve">Valores </t>
  </si>
  <si>
    <t xml:space="preserve">PAPEL </t>
  </si>
  <si>
    <t>TIJOLO</t>
  </si>
  <si>
    <t>HÍBRIDOS</t>
  </si>
  <si>
    <t>FOFs</t>
  </si>
  <si>
    <t>DESENVOLVIMENTO</t>
  </si>
  <si>
    <t xml:space="preserve">HOTELARIAS </t>
  </si>
  <si>
    <t>PERFIL</t>
  </si>
  <si>
    <t>perfil</t>
  </si>
  <si>
    <t>Conservador</t>
  </si>
  <si>
    <t>Moderado</t>
  </si>
  <si>
    <t xml:space="preserve">CHAVE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</si>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</sst>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0"/>
      <name val="Aptos Narrow"/>
      <scheme val="minor"/>
    </font>
    <font>
      <b/>
      <sz val="12"/>
      <color theme="0"/>
      <name val="Aptos Narrow (Corpo)"/>
    </font>
    <font>
      <b/>
      <sz val="18"/>
      <color theme="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theme="3" tint="9.9948118533890809E-2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thick">
        <color theme="3" tint="9.9948118533890809E-2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thick">
        <color theme="3" tint="9.9948118533890809E-2"/>
      </right>
      <top style="hair">
        <color theme="0"/>
      </top>
      <bottom style="hair">
        <color theme="0"/>
      </bottom>
      <diagonal/>
    </border>
    <border>
      <left style="thick">
        <color theme="3" tint="9.9948118533890809E-2"/>
      </left>
      <right style="hair">
        <color theme="0"/>
      </right>
      <top style="hair">
        <color theme="0"/>
      </top>
      <bottom style="thick">
        <color theme="3" tint="9.9948118533890809E-2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ck">
        <color theme="3" tint="9.9948118533890809E-2"/>
      </bottom>
      <diagonal/>
    </border>
    <border>
      <left style="hair">
        <color theme="0"/>
      </left>
      <right style="thick">
        <color theme="3" tint="9.9948118533890809E-2"/>
      </right>
      <top style="hair">
        <color theme="0"/>
      </top>
      <bottom style="thick">
        <color theme="3" tint="9.9948118533890809E-2"/>
      </bottom>
      <diagonal/>
    </border>
    <border>
      <left style="thick">
        <color theme="3" tint="9.9948118533890809E-2"/>
      </left>
      <right style="hair">
        <color theme="0"/>
      </right>
      <top style="thick">
        <color theme="3" tint="9.9948118533890809E-2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thick">
        <color theme="3" tint="9.9948118533890809E-2"/>
      </top>
      <bottom style="hair">
        <color theme="0"/>
      </bottom>
      <diagonal/>
    </border>
    <border>
      <left style="hair">
        <color theme="0"/>
      </left>
      <right style="thick">
        <color theme="3" tint="9.9948118533890809E-2"/>
      </right>
      <top style="thick">
        <color theme="3" tint="9.9948118533890809E-2"/>
      </top>
      <bottom style="hair">
        <color theme="0"/>
      </bottom>
      <diagonal/>
    </border>
    <border>
      <left/>
      <right/>
      <top/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8" fontId="0" fillId="4" borderId="4" xfId="0" applyNumberFormat="1" applyFill="1" applyBorder="1"/>
    <xf numFmtId="8" fontId="0" fillId="4" borderId="7" xfId="0" applyNumberFormat="1" applyFill="1" applyBorder="1"/>
    <xf numFmtId="9" fontId="0" fillId="0" borderId="0" xfId="0" applyNumberFormat="1"/>
    <xf numFmtId="0" fontId="8" fillId="4" borderId="3" xfId="0" applyFont="1" applyFill="1" applyBorder="1"/>
    <xf numFmtId="0" fontId="9" fillId="4" borderId="3" xfId="0" applyFont="1" applyFill="1" applyBorder="1"/>
    <xf numFmtId="0" fontId="8" fillId="4" borderId="5" xfId="0" applyFont="1" applyFill="1" applyBorder="1"/>
    <xf numFmtId="8" fontId="0" fillId="4" borderId="2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69" fontId="4" fillId="0" borderId="4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4" xfId="2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8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8" fontId="4" fillId="4" borderId="7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2" borderId="0" xfId="3" applyFont="1"/>
    <xf numFmtId="44" fontId="8" fillId="0" borderId="3" xfId="1" applyFont="1" applyBorder="1" applyAlignment="1">
      <alignment horizontal="center"/>
    </xf>
    <xf numFmtId="44" fontId="8" fillId="0" borderId="2" xfId="1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44" fontId="4" fillId="4" borderId="0" xfId="1" applyFont="1" applyFill="1" applyAlignment="1">
      <alignment horizontal="center"/>
    </xf>
    <xf numFmtId="0" fontId="10" fillId="2" borderId="0" xfId="3" applyFont="1" applyAlignment="1"/>
    <xf numFmtId="44" fontId="0" fillId="0" borderId="0" xfId="0" applyNumberFormat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44" fontId="4" fillId="6" borderId="0" xfId="0" applyNumberFormat="1" applyFont="1" applyFill="1"/>
    <xf numFmtId="9" fontId="0" fillId="0" borderId="0" xfId="0" applyNumberFormat="1" applyFill="1" applyBorder="1"/>
    <xf numFmtId="0" fontId="0" fillId="0" borderId="11" xfId="0" applyBorder="1"/>
    <xf numFmtId="9" fontId="0" fillId="0" borderId="11" xfId="0" applyNumberFormat="1" applyBorder="1"/>
    <xf numFmtId="9" fontId="0" fillId="0" borderId="11" xfId="2" applyFont="1" applyBorder="1"/>
    <xf numFmtId="9" fontId="0" fillId="0" borderId="0" xfId="2" applyFont="1" applyAlignment="1">
      <alignment horizontal="center"/>
    </xf>
    <xf numFmtId="9" fontId="0" fillId="0" borderId="0" xfId="2" applyFont="1" applyFill="1" applyBorder="1"/>
    <xf numFmtId="169" fontId="0" fillId="4" borderId="4" xfId="1" applyNumberFormat="1" applyFont="1" applyFill="1" applyBorder="1" applyAlignment="1" applyProtection="1">
      <alignment horizontal="center"/>
      <protection locked="0"/>
    </xf>
    <xf numFmtId="10" fontId="0" fillId="4" borderId="4" xfId="0" applyNumberFormat="1" applyFill="1" applyBorder="1" applyAlignment="1" applyProtection="1">
      <alignment horizontal="center"/>
      <protection locked="0"/>
    </xf>
    <xf numFmtId="169" fontId="0" fillId="4" borderId="7" xfId="0" applyNumberFormat="1" applyFill="1" applyBorder="1" applyAlignment="1" applyProtection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xhere.com/id/photo/1419843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6628</xdr:colOff>
      <xdr:row>0</xdr:row>
      <xdr:rowOff>108438</xdr:rowOff>
    </xdr:from>
    <xdr:to>
      <xdr:col>4</xdr:col>
      <xdr:colOff>254000</xdr:colOff>
      <xdr:row>8</xdr:row>
      <xdr:rowOff>48846</xdr:rowOff>
    </xdr:to>
    <xdr:pic>
      <xdr:nvPicPr>
        <xdr:cNvPr id="6" name="Imagem 5" descr="Gambar : uang, koin, investasi, pengusaha, bisnis, bitcoin, produk ...">
          <a:extLst>
            <a:ext uri="{FF2B5EF4-FFF2-40B4-BE49-F238E27FC236}">
              <a16:creationId xmlns:a16="http://schemas.microsoft.com/office/drawing/2014/main" id="{1FCCE94A-663B-2E02-2C95-45B9974D2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t="-1" b="44469"/>
        <a:stretch>
          <a:fillRect/>
        </a:stretch>
      </xdr:blipFill>
      <xdr:spPr>
        <a:xfrm>
          <a:off x="239461" y="108438"/>
          <a:ext cx="6540385" cy="1581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72B0-8CF3-6741-A23A-A8FEFC7EA8C6}">
  <dimension ref="A10:H42"/>
  <sheetViews>
    <sheetView showGridLines="0" showRowColHeaders="0" tabSelected="1" topLeftCell="A8" zoomScale="130" zoomScaleNormal="130" workbookViewId="0">
      <selection activeCell="C32" sqref="C32"/>
    </sheetView>
  </sheetViews>
  <sheetFormatPr baseColWidth="10" defaultColWidth="0" defaultRowHeight="16" x14ac:dyDescent="0.2"/>
  <cols>
    <col min="1" max="1" width="3.1640625" bestFit="1" customWidth="1"/>
    <col min="2" max="2" width="37.83203125" customWidth="1"/>
    <col min="3" max="3" width="29.1640625" bestFit="1" customWidth="1"/>
    <col min="4" max="4" width="15.33203125" bestFit="1" customWidth="1"/>
    <col min="5" max="5" width="4.6640625" customWidth="1"/>
    <col min="6" max="6" width="10.6640625" bestFit="1" customWidth="1"/>
    <col min="7" max="7" width="2.83203125" customWidth="1"/>
    <col min="8" max="8" width="3" customWidth="1"/>
    <col min="9" max="9" width="2" customWidth="1"/>
    <col min="10" max="16384" width="10.83203125" hidden="1"/>
  </cols>
  <sheetData>
    <row r="10" spans="2:4" ht="17" thickBot="1" x14ac:dyDescent="0.25"/>
    <row r="11" spans="2:4" ht="25" thickTop="1" x14ac:dyDescent="0.3">
      <c r="B11" s="13" t="s">
        <v>15</v>
      </c>
      <c r="C11" s="14"/>
      <c r="D11" s="15"/>
    </row>
    <row r="12" spans="2:4" x14ac:dyDescent="0.2">
      <c r="B12" s="31" t="s">
        <v>13</v>
      </c>
      <c r="C12" s="32"/>
      <c r="D12" s="51">
        <v>4200</v>
      </c>
    </row>
    <row r="13" spans="2:4" x14ac:dyDescent="0.2">
      <c r="B13" s="31" t="s">
        <v>14</v>
      </c>
      <c r="C13" s="32"/>
      <c r="D13" s="52">
        <v>6.0000000000000001E-3</v>
      </c>
    </row>
    <row r="14" spans="2:4" ht="17" thickBot="1" x14ac:dyDescent="0.25">
      <c r="B14" s="33" t="s">
        <v>16</v>
      </c>
      <c r="C14" s="34"/>
      <c r="D14" s="53">
        <f>D12*30%</f>
        <v>1260</v>
      </c>
    </row>
    <row r="15" spans="2:4" ht="18" thickTop="1" thickBot="1" x14ac:dyDescent="0.25"/>
    <row r="16" spans="2:4" ht="22" customHeight="1" thickTop="1" x14ac:dyDescent="0.2">
      <c r="B16" s="18" t="s">
        <v>4</v>
      </c>
      <c r="C16" s="19"/>
      <c r="D16" s="20"/>
    </row>
    <row r="17" spans="1:4" x14ac:dyDescent="0.2">
      <c r="B17" s="16" t="s">
        <v>0</v>
      </c>
      <c r="C17" s="17"/>
      <c r="D17" s="21">
        <v>1260</v>
      </c>
    </row>
    <row r="18" spans="1:4" x14ac:dyDescent="0.2">
      <c r="B18" s="36" t="s">
        <v>1</v>
      </c>
      <c r="C18" s="37"/>
      <c r="D18" s="22">
        <v>10</v>
      </c>
    </row>
    <row r="19" spans="1:4" x14ac:dyDescent="0.2">
      <c r="B19" s="16" t="s">
        <v>2</v>
      </c>
      <c r="C19" s="17"/>
      <c r="D19" s="23">
        <v>1.0789999999999999E-2</v>
      </c>
    </row>
    <row r="20" spans="1:4" x14ac:dyDescent="0.2">
      <c r="B20" s="24" t="s">
        <v>5</v>
      </c>
      <c r="C20" s="25"/>
      <c r="D20" s="26">
        <f>FV(Taxa_mensal,Quantidade_anos*12,Aporte*-1)</f>
        <v>306538.10778801696</v>
      </c>
    </row>
    <row r="21" spans="1:4" ht="17" thickBot="1" x14ac:dyDescent="0.25">
      <c r="B21" s="27" t="s">
        <v>3</v>
      </c>
      <c r="C21" s="28"/>
      <c r="D21" s="29">
        <f>D20*Rendimento_Carteira</f>
        <v>1839.2286467281017</v>
      </c>
    </row>
    <row r="22" spans="1:4" ht="18" thickTop="1" thickBot="1" x14ac:dyDescent="0.25">
      <c r="B22" s="4"/>
      <c r="C22" s="4"/>
      <c r="D22" s="3"/>
    </row>
    <row r="23" spans="1:4" ht="28" thickTop="1" x14ac:dyDescent="0.2">
      <c r="B23" s="18" t="s">
        <v>11</v>
      </c>
      <c r="C23" s="19"/>
      <c r="D23" s="30" t="s">
        <v>12</v>
      </c>
    </row>
    <row r="24" spans="1:4" x14ac:dyDescent="0.2">
      <c r="A24" s="1">
        <v>2</v>
      </c>
      <c r="B24" s="8" t="s">
        <v>6</v>
      </c>
      <c r="C24" s="11">
        <f>FV($D$19,A24*12,$D$17*-1)</f>
        <v>34306.810395032975</v>
      </c>
      <c r="D24" s="5">
        <f>C24*Rendimento_Carteira</f>
        <v>205.84086237019787</v>
      </c>
    </row>
    <row r="25" spans="1:4" x14ac:dyDescent="0.2">
      <c r="A25" s="1">
        <v>5</v>
      </c>
      <c r="B25" s="8" t="s">
        <v>7</v>
      </c>
      <c r="C25" s="11">
        <f>FV($D$19,A25*12,$D$17*-1)</f>
        <v>105558.91163809443</v>
      </c>
      <c r="D25" s="5">
        <f>C25*Rendimento_Carteira</f>
        <v>633.35346982856663</v>
      </c>
    </row>
    <row r="26" spans="1:4" x14ac:dyDescent="0.2">
      <c r="A26" s="1">
        <v>10</v>
      </c>
      <c r="B26" s="9" t="s">
        <v>8</v>
      </c>
      <c r="C26" s="11">
        <f>FV($D$19,A26*12,$D$17*-1)</f>
        <v>306538.10778801696</v>
      </c>
      <c r="D26" s="5">
        <f>C26*Rendimento_Carteira</f>
        <v>1839.2286467281017</v>
      </c>
    </row>
    <row r="27" spans="1:4" x14ac:dyDescent="0.2">
      <c r="A27" s="1">
        <v>20</v>
      </c>
      <c r="B27" s="9" t="s">
        <v>10</v>
      </c>
      <c r="C27" s="11">
        <f>FV($D$19,A27*12,$D$17*-1)</f>
        <v>1417749.9841223215</v>
      </c>
      <c r="D27" s="5">
        <f>C27*Rendimento_Carteira</f>
        <v>8506.4999047339297</v>
      </c>
    </row>
    <row r="28" spans="1:4" ht="17" thickBot="1" x14ac:dyDescent="0.25">
      <c r="A28" s="1">
        <v>30</v>
      </c>
      <c r="B28" s="10" t="s">
        <v>9</v>
      </c>
      <c r="C28" s="12">
        <f>FV($D$19,A28*12,$D$17*-1)</f>
        <v>5445933.7653059401</v>
      </c>
      <c r="D28" s="6">
        <f>C28*Rendimento_Carteira</f>
        <v>32675.602591835643</v>
      </c>
    </row>
    <row r="29" spans="1:4" ht="17" thickTop="1" x14ac:dyDescent="0.2"/>
    <row r="32" spans="1:4" x14ac:dyDescent="0.2">
      <c r="B32" s="40" t="s">
        <v>28</v>
      </c>
      <c r="C32" s="35" t="s">
        <v>31</v>
      </c>
    </row>
    <row r="33" spans="2:4" x14ac:dyDescent="0.2">
      <c r="B33" s="38" t="s">
        <v>18</v>
      </c>
      <c r="C33" s="39">
        <f>Aporte</f>
        <v>1260</v>
      </c>
    </row>
    <row r="35" spans="2:4" x14ac:dyDescent="0.2">
      <c r="B35" s="42" t="s">
        <v>19</v>
      </c>
      <c r="C35" s="42" t="s">
        <v>20</v>
      </c>
      <c r="D35" s="42" t="s">
        <v>21</v>
      </c>
    </row>
    <row r="36" spans="2:4" x14ac:dyDescent="0.2">
      <c r="B36" s="2" t="s">
        <v>22</v>
      </c>
      <c r="C36" s="49">
        <f>VLOOKUP($C$32&amp;"-"&amp;B36,Planilha2!$A$1:$D$20,4,FALSE)</f>
        <v>0.32</v>
      </c>
      <c r="D36" s="41">
        <f>$C$33*C36</f>
        <v>403.2</v>
      </c>
    </row>
    <row r="37" spans="2:4" x14ac:dyDescent="0.2">
      <c r="B37" s="2" t="s">
        <v>23</v>
      </c>
      <c r="C37" s="49">
        <f>VLOOKUP($C$32&amp;"-"&amp;B37,Planilha2!$A$1:$D$20,4,FALSE)</f>
        <v>0.35</v>
      </c>
      <c r="D37" s="41">
        <f t="shared" ref="D37:D41" si="0">$C$33*C37</f>
        <v>441</v>
      </c>
    </row>
    <row r="38" spans="2:4" x14ac:dyDescent="0.2">
      <c r="B38" s="2" t="s">
        <v>24</v>
      </c>
      <c r="C38" s="49">
        <f>VLOOKUP($C$32&amp;"-"&amp;B38,Planilha2!$A$1:$D$20,4,FALSE)</f>
        <v>0.08</v>
      </c>
      <c r="D38" s="41">
        <f t="shared" si="0"/>
        <v>100.8</v>
      </c>
    </row>
    <row r="39" spans="2:4" x14ac:dyDescent="0.2">
      <c r="B39" s="2" t="s">
        <v>25</v>
      </c>
      <c r="C39" s="49">
        <f>VLOOKUP($C$32&amp;"-"&amp;B39,Planilha2!$A$1:$D$20,4,FALSE)</f>
        <v>0.05</v>
      </c>
      <c r="D39" s="41">
        <f t="shared" si="0"/>
        <v>63</v>
      </c>
    </row>
    <row r="40" spans="2:4" x14ac:dyDescent="0.2">
      <c r="B40" s="2" t="s">
        <v>26</v>
      </c>
      <c r="C40" s="49">
        <f>VLOOKUP($C$32&amp;"-"&amp;B40,Planilha2!$A$1:$D$20,4,FALSE)</f>
        <v>0.1</v>
      </c>
      <c r="D40" s="41">
        <f t="shared" si="0"/>
        <v>126</v>
      </c>
    </row>
    <row r="41" spans="2:4" x14ac:dyDescent="0.2">
      <c r="B41" s="2" t="s">
        <v>27</v>
      </c>
      <c r="C41" s="49">
        <f>VLOOKUP($C$32&amp;"-"&amp;B41,Planilha2!$A$1:$D$20,4,FALSE)</f>
        <v>0.1</v>
      </c>
      <c r="D41" s="41">
        <f t="shared" si="0"/>
        <v>126</v>
      </c>
    </row>
    <row r="42" spans="2:4" x14ac:dyDescent="0.2">
      <c r="B42" s="43"/>
      <c r="C42" s="43"/>
      <c r="D42" s="44">
        <f>SUM(D36:D41)</f>
        <v>1260</v>
      </c>
    </row>
  </sheetData>
  <mergeCells count="11">
    <mergeCell ref="B16:D16"/>
    <mergeCell ref="B17:C17"/>
    <mergeCell ref="B18:C18"/>
    <mergeCell ref="B19:C19"/>
    <mergeCell ref="B20:C20"/>
    <mergeCell ref="B21:C21"/>
    <mergeCell ref="B23:C23"/>
    <mergeCell ref="B11:D11"/>
    <mergeCell ref="B12:C12"/>
    <mergeCell ref="B13:C13"/>
    <mergeCell ref="B14:C14"/>
  </mergeCells>
  <dataValidations count="1">
    <dataValidation type="list" allowBlank="1" showInputMessage="1" showErrorMessage="1" sqref="C32" xr:uid="{F994A91F-9053-ED42-9F9C-038FB671E7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256F-D4E9-2548-8632-A924E36945EA}">
  <dimension ref="A1"/>
  <sheetViews>
    <sheetView workbookViewId="0"/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E736-D0AC-194E-825E-83670234626B}">
  <dimension ref="A2:D20"/>
  <sheetViews>
    <sheetView workbookViewId="0">
      <selection activeCell="D11" sqref="D11"/>
    </sheetView>
  </sheetViews>
  <sheetFormatPr baseColWidth="10" defaultRowHeight="16" x14ac:dyDescent="0.2"/>
  <cols>
    <col min="1" max="1" width="30.33203125" bestFit="1" customWidth="1"/>
    <col min="2" max="2" width="11.5" bestFit="1" customWidth="1"/>
    <col min="3" max="3" width="19" bestFit="1" customWidth="1"/>
  </cols>
  <sheetData>
    <row r="2" spans="1:4" x14ac:dyDescent="0.2">
      <c r="A2" t="s">
        <v>32</v>
      </c>
      <c r="B2" t="s">
        <v>29</v>
      </c>
      <c r="C2" t="s">
        <v>19</v>
      </c>
      <c r="D2" t="s">
        <v>33</v>
      </c>
    </row>
    <row r="3" spans="1:4" x14ac:dyDescent="0.2">
      <c r="A3" t="str">
        <f>B3&amp;"-"&amp;C3</f>
        <v xml:space="preserve">Conservador-PAPEL </v>
      </c>
      <c r="B3" t="s">
        <v>30</v>
      </c>
      <c r="C3" s="2" t="s">
        <v>22</v>
      </c>
      <c r="D3" s="7">
        <v>0.3</v>
      </c>
    </row>
    <row r="4" spans="1:4" x14ac:dyDescent="0.2">
      <c r="A4" t="str">
        <f t="shared" ref="A4:A20" si="0">B4&amp;"-"&amp;C4</f>
        <v>Conservador-TIJOLO</v>
      </c>
      <c r="B4" t="s">
        <v>30</v>
      </c>
      <c r="C4" s="2" t="s">
        <v>23</v>
      </c>
      <c r="D4" s="7">
        <v>0.5</v>
      </c>
    </row>
    <row r="5" spans="1:4" x14ac:dyDescent="0.2">
      <c r="A5" t="str">
        <f t="shared" si="0"/>
        <v>Conservador-HÍBRIDOS</v>
      </c>
      <c r="B5" t="s">
        <v>30</v>
      </c>
      <c r="C5" s="2" t="s">
        <v>24</v>
      </c>
      <c r="D5" s="7">
        <v>0.1</v>
      </c>
    </row>
    <row r="6" spans="1:4" x14ac:dyDescent="0.2">
      <c r="A6" t="str">
        <f t="shared" si="0"/>
        <v>Conservador-FOFs</v>
      </c>
      <c r="B6" t="s">
        <v>30</v>
      </c>
      <c r="C6" s="2" t="s">
        <v>25</v>
      </c>
      <c r="D6" s="7">
        <v>0.1</v>
      </c>
    </row>
    <row r="7" spans="1:4" x14ac:dyDescent="0.2">
      <c r="A7" t="str">
        <f t="shared" si="0"/>
        <v>Conservador-DESENVOLVIMENTO</v>
      </c>
      <c r="B7" t="s">
        <v>30</v>
      </c>
      <c r="C7" s="2" t="s">
        <v>26</v>
      </c>
      <c r="D7" s="7">
        <v>0</v>
      </c>
    </row>
    <row r="8" spans="1:4" ht="17" thickBot="1" x14ac:dyDescent="0.25">
      <c r="A8" t="str">
        <f t="shared" si="0"/>
        <v xml:space="preserve">Conservador-HOTELARIAS </v>
      </c>
      <c r="B8" s="46" t="s">
        <v>30</v>
      </c>
      <c r="C8" s="2" t="s">
        <v>27</v>
      </c>
      <c r="D8" s="47">
        <v>0</v>
      </c>
    </row>
    <row r="9" spans="1:4" x14ac:dyDescent="0.2">
      <c r="A9" t="str">
        <f t="shared" si="0"/>
        <v xml:space="preserve">Moderado-PAPEL </v>
      </c>
      <c r="B9" t="s">
        <v>31</v>
      </c>
      <c r="C9" s="2" t="s">
        <v>22</v>
      </c>
      <c r="D9" s="45">
        <v>0.32</v>
      </c>
    </row>
    <row r="10" spans="1:4" x14ac:dyDescent="0.2">
      <c r="A10" t="str">
        <f t="shared" si="0"/>
        <v>Moderado-TIJOLO</v>
      </c>
      <c r="B10" t="s">
        <v>31</v>
      </c>
      <c r="C10" s="2" t="s">
        <v>23</v>
      </c>
      <c r="D10" s="45">
        <v>0.35</v>
      </c>
    </row>
    <row r="11" spans="1:4" x14ac:dyDescent="0.2">
      <c r="A11" t="str">
        <f t="shared" si="0"/>
        <v>Moderado-HÍBRIDOS</v>
      </c>
      <c r="B11" t="s">
        <v>31</v>
      </c>
      <c r="C11" s="2" t="s">
        <v>24</v>
      </c>
      <c r="D11" s="45">
        <v>0.08</v>
      </c>
    </row>
    <row r="12" spans="1:4" x14ac:dyDescent="0.2">
      <c r="A12" t="str">
        <f t="shared" si="0"/>
        <v>Moderado-FOFs</v>
      </c>
      <c r="B12" t="s">
        <v>31</v>
      </c>
      <c r="C12" s="2" t="s">
        <v>25</v>
      </c>
      <c r="D12" s="45">
        <v>0.05</v>
      </c>
    </row>
    <row r="13" spans="1:4" x14ac:dyDescent="0.2">
      <c r="A13" t="str">
        <f t="shared" si="0"/>
        <v>Moderado-DESENVOLVIMENTO</v>
      </c>
      <c r="B13" t="s">
        <v>31</v>
      </c>
      <c r="C13" s="2" t="s">
        <v>26</v>
      </c>
      <c r="D13" s="45">
        <v>0.1</v>
      </c>
    </row>
    <row r="14" spans="1:4" ht="17" thickBot="1" x14ac:dyDescent="0.25">
      <c r="A14" t="str">
        <f t="shared" si="0"/>
        <v xml:space="preserve">Moderado-HOTELARIAS </v>
      </c>
      <c r="B14" s="46" t="s">
        <v>31</v>
      </c>
      <c r="C14" s="2" t="s">
        <v>27</v>
      </c>
      <c r="D14" s="48">
        <v>0.1</v>
      </c>
    </row>
    <row r="15" spans="1:4" x14ac:dyDescent="0.2">
      <c r="A15" t="str">
        <f>B15&amp;"-"&amp;C15</f>
        <v xml:space="preserve">Agressivo-PAPEL </v>
      </c>
      <c r="B15" t="s">
        <v>17</v>
      </c>
      <c r="C15" s="2" t="s">
        <v>22</v>
      </c>
      <c r="D15" s="50">
        <v>0.5</v>
      </c>
    </row>
    <row r="16" spans="1:4" x14ac:dyDescent="0.2">
      <c r="A16" t="str">
        <f t="shared" si="0"/>
        <v>Agressivo-TIJOLO</v>
      </c>
      <c r="B16" t="s">
        <v>17</v>
      </c>
      <c r="C16" s="2" t="s">
        <v>23</v>
      </c>
      <c r="D16" s="50">
        <v>0.1</v>
      </c>
    </row>
    <row r="17" spans="1:4" x14ac:dyDescent="0.2">
      <c r="A17" t="str">
        <f t="shared" si="0"/>
        <v>Agressivo-HÍBRIDOS</v>
      </c>
      <c r="B17" t="s">
        <v>17</v>
      </c>
      <c r="C17" s="2" t="s">
        <v>24</v>
      </c>
      <c r="D17" s="50">
        <v>0.05</v>
      </c>
    </row>
    <row r="18" spans="1:4" x14ac:dyDescent="0.2">
      <c r="A18" t="str">
        <f t="shared" si="0"/>
        <v>Agressivo-FOFs</v>
      </c>
      <c r="B18" t="s">
        <v>17</v>
      </c>
      <c r="C18" s="2" t="s">
        <v>25</v>
      </c>
      <c r="D18" s="50">
        <v>0.05</v>
      </c>
    </row>
    <row r="19" spans="1:4" x14ac:dyDescent="0.2">
      <c r="A19" t="str">
        <f t="shared" si="0"/>
        <v>Agressivo-DESENVOLVIMENTO</v>
      </c>
      <c r="B19" t="s">
        <v>17</v>
      </c>
      <c r="C19" s="2" t="s">
        <v>26</v>
      </c>
      <c r="D19" s="50">
        <v>0.2</v>
      </c>
    </row>
    <row r="20" spans="1:4" ht="17" thickBot="1" x14ac:dyDescent="0.25">
      <c r="A20" t="str">
        <f t="shared" si="0"/>
        <v xml:space="preserve">Agressivo-HOTELARIAS </v>
      </c>
      <c r="B20" t="s">
        <v>17</v>
      </c>
      <c r="C20" s="2" t="s">
        <v>27</v>
      </c>
      <c r="D20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Simulacao_FIIs</vt:lpstr>
      <vt:lpstr>Planilha3</vt:lpstr>
      <vt:lpstr>Planilha2</vt:lpstr>
      <vt:lpstr>Aporte</vt:lpstr>
      <vt:lpstr>Patrimonio</vt:lpstr>
      <vt:lpstr>Quantidade_anos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Sousa</dc:creator>
  <cp:lastModifiedBy>Debora Sousa</cp:lastModifiedBy>
  <dcterms:created xsi:type="dcterms:W3CDTF">2026-10-13T19:52:32Z</dcterms:created>
  <dcterms:modified xsi:type="dcterms:W3CDTF">2026-10-14T00:03:39Z</dcterms:modified>
</cp:coreProperties>
</file>